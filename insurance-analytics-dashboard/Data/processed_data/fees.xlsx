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in\Desktop\New Insurance Project\Dataset\Branch Dashboard Data\"/>
    </mc:Choice>
  </mc:AlternateContent>
  <xr:revisionPtr revIDLastSave="0" documentId="13_ncr:1_{13A42B40-38C3-437E-B60A-4AE727D6C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s_202001231041" sheetId="1" r:id="rId1"/>
  </sheets>
  <definedNames>
    <definedName name="_xlnm._FilterDatabase" localSheetId="0" hidden="1">fees_202001231041!$A$1:$K$1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</calcChain>
</file>

<file path=xl/sharedStrings.xml><?xml version="1.0" encoding="utf-8"?>
<sst xmlns="http://schemas.openxmlformats.org/spreadsheetml/2006/main" count="65" uniqueCount="31">
  <si>
    <t>client_name</t>
  </si>
  <si>
    <t>branch_name</t>
  </si>
  <si>
    <t>solution_group</t>
  </si>
  <si>
    <t>income_class</t>
  </si>
  <si>
    <t>income_due_date</t>
  </si>
  <si>
    <t>revenue_transaction_type</t>
  </si>
  <si>
    <t>Fees</t>
  </si>
  <si>
    <t>Ahmedabad</t>
  </si>
  <si>
    <t>Construction, Power &amp; Infrastructure</t>
  </si>
  <si>
    <t>Nishant Sharma</t>
  </si>
  <si>
    <t>Liability</t>
  </si>
  <si>
    <t>Renewal</t>
  </si>
  <si>
    <t>New</t>
  </si>
  <si>
    <t>Cross Sell</t>
  </si>
  <si>
    <t>Amount</t>
  </si>
  <si>
    <t>Account Executive</t>
  </si>
  <si>
    <t>GL Client Network (GNB Inward)</t>
  </si>
  <si>
    <t>Vinay</t>
  </si>
  <si>
    <t>Abhinav Shivam</t>
  </si>
  <si>
    <t>Account Exe ID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</si>
  <si>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</si>
  <si>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</si>
  <si>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</si>
  <si>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</si>
  <si>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</si>
  <si>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</si>
  <si>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</si>
  <si>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</si>
  <si>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</si>
  <si>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Due_month_name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</si>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</sst>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4" fontId="16" fillId="33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72" workbookViewId="0">
      <selection activeCell="G19" sqref="G19"/>
    </sheetView>
  </sheetViews>
  <sheetFormatPr defaultColWidth="8.7265625" defaultRowHeight="14.5" x14ac:dyDescent="0.35"/>
  <cols>
    <col min="1" max="1" width="26.7265625" customWidth="1"/>
    <col min="2" max="2" width="14.54296875" customWidth="1"/>
    <col min="3" max="3" width="33.453125" customWidth="1"/>
    <col min="4" max="4" width="19" bestFit="1" customWidth="1"/>
    <col min="5" max="5" width="21.7265625" bestFit="1" customWidth="1"/>
    <col min="6" max="6" width="17.453125" bestFit="1" customWidth="1"/>
    <col min="7" max="7" width="13.36328125" bestFit="1" customWidth="1"/>
    <col min="8" max="8" width="21.453125" style="1" bestFit="1" customWidth="1"/>
    <col min="9" max="9" width="28.54296875" bestFit="1" customWidth="1"/>
    <col min="10" max="10" width="22.08984375" bestFit="1" customWidth="1"/>
    <col min="11" max="11" width="13.1796875" bestFit="1" customWidth="1"/>
  </cols>
  <sheetData>
    <row r="1" spans="1:11" s="2" customFormat="1" x14ac:dyDescent="0.35">
      <c r="A1" s="3" t="s">
        <v>0</v>
      </c>
      <c r="B1" s="3" t="s">
        <v>1</v>
      </c>
      <c r="C1" s="3" t="s">
        <v>2</v>
      </c>
      <c r="D1" s="3" t="s">
        <v>19</v>
      </c>
      <c r="E1" s="3" t="s">
        <v>15</v>
      </c>
      <c r="F1" s="3" t="s">
        <v>3</v>
      </c>
      <c r="G1" s="3" t="s">
        <v>14</v>
      </c>
      <c r="H1" s="8" t="s">
        <v>4</v>
      </c>
      <c r="I1" s="3" t="s">
        <v>5</v>
      </c>
      <c r="J1" s="3" t="s">
        <v>29</v>
      </c>
      <c r="K1" s="3" t="s">
        <v>30</v>
      </c>
    </row>
    <row r="2" spans="1:11" x14ac:dyDescent="0.35">
      <c r="A2" s="4" t="s">
        <v>21</v>
      </c>
      <c r="B2" s="4" t="s">
        <v>7</v>
      </c>
      <c r="C2" s="4" t="s">
        <v>8</v>
      </c>
      <c r="D2" s="4">
        <v>3</v>
      </c>
      <c r="E2" s="4" t="s">
        <v>9</v>
      </c>
      <c r="F2" s="4" t="s">
        <v>13</v>
      </c>
      <c r="G2" s="7">
        <v>139240</v>
      </c>
      <c r="H2" s="5">
        <v>43486</v>
      </c>
      <c r="I2" s="4" t="s">
        <v>6</v>
      </c>
      <c r="J2" s="6" t="str">
        <f>TEXT(H2,"MMMM")</f>
        <v>January</v>
      </c>
      <c r="K2" s="6" t="str">
        <f>"Q"&amp;INT((MONTH(H2)+2)/3)</f>
        <v>Q1</v>
      </c>
    </row>
    <row r="3" spans="1:11" x14ac:dyDescent="0.35">
      <c r="A3" s="4" t="s">
        <v>24</v>
      </c>
      <c r="B3" s="4" t="s">
        <v>7</v>
      </c>
      <c r="C3" s="4" t="s">
        <v>8</v>
      </c>
      <c r="D3" s="4">
        <v>3</v>
      </c>
      <c r="E3" s="4" t="s">
        <v>9</v>
      </c>
      <c r="F3" s="4" t="s">
        <v>13</v>
      </c>
      <c r="G3" s="7">
        <v>118000</v>
      </c>
      <c r="H3" s="5">
        <v>43539</v>
      </c>
      <c r="I3" s="4" t="s">
        <v>6</v>
      </c>
      <c r="J3" s="6" t="str">
        <f t="shared" ref="J3:J10" si="0">TEXT(H3,"MMMM")</f>
        <v>March</v>
      </c>
      <c r="K3" s="6" t="str">
        <f t="shared" ref="K3:K10" si="1">"Q"&amp;INT((MONTH(H3)+2)/3)</f>
        <v>Q1</v>
      </c>
    </row>
    <row r="4" spans="1:11" x14ac:dyDescent="0.35">
      <c r="A4" s="4" t="s">
        <v>20</v>
      </c>
      <c r="B4" s="4" t="s">
        <v>7</v>
      </c>
      <c r="C4" s="4" t="s">
        <v>8</v>
      </c>
      <c r="D4" s="4">
        <v>3</v>
      </c>
      <c r="E4" s="4" t="s">
        <v>9</v>
      </c>
      <c r="F4" s="4" t="s">
        <v>13</v>
      </c>
      <c r="G4" s="7">
        <v>139240</v>
      </c>
      <c r="H4" s="5">
        <v>43663</v>
      </c>
      <c r="I4" s="4" t="s">
        <v>6</v>
      </c>
      <c r="J4" s="6" t="str">
        <f t="shared" si="0"/>
        <v>July</v>
      </c>
      <c r="K4" s="6" t="str">
        <f t="shared" si="1"/>
        <v>Q3</v>
      </c>
    </row>
    <row r="5" spans="1:11" x14ac:dyDescent="0.35">
      <c r="A5" s="4" t="s">
        <v>23</v>
      </c>
      <c r="B5" s="4" t="s">
        <v>7</v>
      </c>
      <c r="C5" s="4" t="s">
        <v>16</v>
      </c>
      <c r="D5" s="4">
        <v>1</v>
      </c>
      <c r="E5" s="4" t="s">
        <v>17</v>
      </c>
      <c r="F5" s="4" t="s">
        <v>11</v>
      </c>
      <c r="G5" s="7">
        <v>4500</v>
      </c>
      <c r="H5" s="5">
        <v>43490</v>
      </c>
      <c r="I5" s="4" t="s">
        <v>6</v>
      </c>
      <c r="J5" s="6" t="str">
        <f t="shared" si="0"/>
        <v>January</v>
      </c>
      <c r="K5" s="6" t="str">
        <f t="shared" si="1"/>
        <v>Q1</v>
      </c>
    </row>
    <row r="6" spans="1:11" x14ac:dyDescent="0.35">
      <c r="A6" s="4" t="s">
        <v>26</v>
      </c>
      <c r="B6" s="4" t="s">
        <v>7</v>
      </c>
      <c r="C6" s="4" t="s">
        <v>16</v>
      </c>
      <c r="D6" s="4">
        <v>1</v>
      </c>
      <c r="E6" s="4" t="s">
        <v>17</v>
      </c>
      <c r="F6" s="4" t="s">
        <v>11</v>
      </c>
      <c r="G6" s="7">
        <v>3241</v>
      </c>
      <c r="H6" s="5">
        <v>43490</v>
      </c>
      <c r="I6" s="4" t="s">
        <v>6</v>
      </c>
      <c r="J6" s="6" t="str">
        <f t="shared" si="0"/>
        <v>January</v>
      </c>
      <c r="K6" s="6" t="str">
        <f t="shared" si="1"/>
        <v>Q1</v>
      </c>
    </row>
    <row r="7" spans="1:11" x14ac:dyDescent="0.35">
      <c r="A7" s="4" t="s">
        <v>25</v>
      </c>
      <c r="B7" s="4" t="s">
        <v>7</v>
      </c>
      <c r="C7" s="4" t="s">
        <v>16</v>
      </c>
      <c r="D7" s="4">
        <v>1</v>
      </c>
      <c r="E7" s="4" t="s">
        <v>17</v>
      </c>
      <c r="F7" s="4" t="s">
        <v>11</v>
      </c>
      <c r="G7" s="7">
        <v>2800</v>
      </c>
      <c r="H7" s="5">
        <v>43613</v>
      </c>
      <c r="I7" s="4" t="s">
        <v>6</v>
      </c>
      <c r="J7" s="6" t="str">
        <f t="shared" si="0"/>
        <v>May</v>
      </c>
      <c r="K7" s="6" t="str">
        <f t="shared" si="1"/>
        <v>Q2</v>
      </c>
    </row>
    <row r="8" spans="1:11" x14ac:dyDescent="0.35">
      <c r="A8" s="4" t="s">
        <v>28</v>
      </c>
      <c r="B8" s="4" t="s">
        <v>7</v>
      </c>
      <c r="C8" s="4" t="s">
        <v>16</v>
      </c>
      <c r="D8" s="4">
        <v>1</v>
      </c>
      <c r="E8" s="4" t="s">
        <v>17</v>
      </c>
      <c r="F8" s="4" t="s">
        <v>11</v>
      </c>
      <c r="G8" s="7">
        <v>5310</v>
      </c>
      <c r="H8" s="5">
        <v>43805</v>
      </c>
      <c r="I8" s="4" t="s">
        <v>6</v>
      </c>
      <c r="J8" s="6" t="str">
        <f t="shared" si="0"/>
        <v>December</v>
      </c>
      <c r="K8" s="6" t="str">
        <f t="shared" si="1"/>
        <v>Q4</v>
      </c>
    </row>
    <row r="9" spans="1:11" x14ac:dyDescent="0.35">
      <c r="A9" s="4" t="s">
        <v>22</v>
      </c>
      <c r="B9" s="4" t="s">
        <v>7</v>
      </c>
      <c r="C9" s="4" t="s">
        <v>16</v>
      </c>
      <c r="D9" s="4">
        <v>1</v>
      </c>
      <c r="E9" s="4" t="s">
        <v>17</v>
      </c>
      <c r="F9" s="4" t="s">
        <v>11</v>
      </c>
      <c r="G9" s="7">
        <v>2200</v>
      </c>
      <c r="H9" s="5">
        <v>43819</v>
      </c>
      <c r="I9" s="4" t="s">
        <v>6</v>
      </c>
      <c r="J9" s="6" t="str">
        <f t="shared" si="0"/>
        <v>December</v>
      </c>
      <c r="K9" s="6" t="str">
        <f t="shared" si="1"/>
        <v>Q4</v>
      </c>
    </row>
    <row r="10" spans="1:11" x14ac:dyDescent="0.35">
      <c r="A10" s="4" t="s">
        <v>27</v>
      </c>
      <c r="B10" s="4" t="s">
        <v>7</v>
      </c>
      <c r="C10" s="4" t="s">
        <v>10</v>
      </c>
      <c r="D10" s="4">
        <v>2</v>
      </c>
      <c r="E10" s="4" t="s">
        <v>18</v>
      </c>
      <c r="F10" s="4" t="s">
        <v>12</v>
      </c>
      <c r="G10" s="7">
        <v>100000</v>
      </c>
      <c r="H10" s="5">
        <v>43565</v>
      </c>
      <c r="I10" s="4" t="s">
        <v>6</v>
      </c>
      <c r="J10" s="6" t="str">
        <f t="shared" si="0"/>
        <v>April</v>
      </c>
      <c r="K10" s="6" t="str">
        <f t="shared" si="1"/>
        <v>Q2</v>
      </c>
    </row>
  </sheetData>
  <autoFilter ref="A1:K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Jobin S</cp:lastModifiedBy>
  <dcterms:created xsi:type="dcterms:W3CDTF">2020-02-11T13:11:48Z</dcterms:created>
  <dcterms:modified xsi:type="dcterms:W3CDTF">2026-05-26T10:01:22Z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2023-12-18T08:28:39Z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b95e1a2b-b849-48cd-bc94-8598c0b2452a</vt:lpwstr>
  </property>
  <property fmtid="{D5CDD505-2E9C-101B-9397-08002B2CF9AE}" pid="8" name="MSIP_Label_defa4170-0d19-0005-0004-bc88714345d2_ContentBits">
    <vt:lpwstr>0</vt:lpwstr>
  </property>
</Properties>
</file>